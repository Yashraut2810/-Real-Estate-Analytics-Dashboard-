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ll\Desktop\ShubhKamal\"/>
    </mc:Choice>
  </mc:AlternateContent>
  <xr:revisionPtr revIDLastSave="0" documentId="13_ncr:1_{8FFE773B-D173-4E11-A2B2-B0AC7E83C199}" xr6:coauthVersionLast="47" xr6:coauthVersionMax="47" xr10:uidLastSave="{00000000-0000-0000-0000-000000000000}"/>
  <bookViews>
    <workbookView xWindow="-108" yWindow="-108" windowWidth="23256" windowHeight="12456" activeTab="1" xr2:uid="{C0256442-60EB-4744-A7B0-860B83508A1F}"/>
  </bookViews>
  <sheets>
    <sheet name="Inventory" sheetId="1" r:id="rId1"/>
    <sheet name="Dashboard" sheetId="2" r:id="rId2"/>
  </sheets>
  <definedNames>
    <definedName name="_xlnm._FilterDatabase" localSheetId="0" hidden="1">Inventory!$A$1:$J$41</definedName>
    <definedName name="Slicer_Area__Sqft">#N/A</definedName>
    <definedName name="Slicer_Plot_Loc">#N/A</definedName>
  </definedNames>
  <calcPr calcId="191029"/>
  <fileRecoveryPr autoRecover="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2" i="1" l="1"/>
  <c r="G7" i="1"/>
  <c r="G6" i="1"/>
  <c r="C6" i="1"/>
  <c r="F6" i="2"/>
  <c r="H6" i="2"/>
  <c r="G5" i="1"/>
  <c r="M5" i="1" s="1"/>
  <c r="G2" i="1"/>
  <c r="M2" i="1" s="1"/>
  <c r="G3" i="1"/>
  <c r="M3" i="1" s="1"/>
  <c r="G4" i="1"/>
  <c r="M4" i="1" s="1"/>
  <c r="M6" i="1"/>
  <c r="M7" i="1"/>
  <c r="G8" i="1"/>
  <c r="M8" i="1" s="1"/>
  <c r="G9" i="1"/>
  <c r="M9" i="1" s="1"/>
  <c r="G10" i="1"/>
  <c r="M10" i="1" s="1"/>
  <c r="G11" i="1"/>
  <c r="M11" i="1" s="1"/>
  <c r="G12" i="1"/>
  <c r="M12" i="1" s="1"/>
  <c r="G13" i="1"/>
  <c r="M13" i="1" s="1"/>
  <c r="G14" i="1"/>
  <c r="M14" i="1" s="1"/>
  <c r="G15" i="1"/>
  <c r="M15" i="1" s="1"/>
  <c r="G16" i="1"/>
  <c r="G17" i="1"/>
  <c r="M17" i="1" s="1"/>
  <c r="G18" i="1"/>
  <c r="M18" i="1" s="1"/>
  <c r="G19" i="1"/>
  <c r="M19" i="1" s="1"/>
  <c r="G20" i="1"/>
  <c r="M20" i="1" s="1"/>
  <c r="G21" i="1"/>
  <c r="M21" i="1" s="1"/>
  <c r="G22" i="1"/>
  <c r="M22" i="1" s="1"/>
  <c r="G23" i="1"/>
  <c r="M23" i="1" s="1"/>
  <c r="G24" i="1"/>
  <c r="M24" i="1" s="1"/>
  <c r="G25" i="1"/>
  <c r="M25" i="1" s="1"/>
  <c r="G26" i="1"/>
  <c r="M26" i="1" s="1"/>
  <c r="G27" i="1"/>
  <c r="M27" i="1" s="1"/>
  <c r="G28" i="1"/>
  <c r="M28" i="1" s="1"/>
  <c r="G29" i="1"/>
  <c r="M29" i="1" s="1"/>
  <c r="G30" i="1"/>
  <c r="M30" i="1" s="1"/>
  <c r="G31" i="1"/>
  <c r="M31" i="1" s="1"/>
  <c r="G32" i="1"/>
  <c r="M32" i="1" s="1"/>
  <c r="G33" i="1"/>
  <c r="M33" i="1" s="1"/>
  <c r="G34" i="1"/>
  <c r="M34" i="1" s="1"/>
  <c r="G35" i="1"/>
  <c r="M35" i="1" s="1"/>
  <c r="G36" i="1"/>
  <c r="M36" i="1" s="1"/>
  <c r="G37" i="1"/>
  <c r="M37" i="1" s="1"/>
  <c r="G38" i="1"/>
  <c r="M38" i="1" s="1"/>
  <c r="G39" i="1"/>
  <c r="M39" i="1" s="1"/>
  <c r="G40" i="1"/>
  <c r="M40" i="1" s="1"/>
  <c r="G41" i="1"/>
  <c r="M41" i="1" s="1"/>
  <c r="C3" i="1"/>
  <c r="C4" i="1"/>
  <c r="C5"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2" i="1"/>
  <c r="M16" i="1" l="1"/>
</calcChain>
</file>

<file path=xl/sharedStrings.xml><?xml version="1.0" encoding="utf-8"?>
<sst xmlns="http://schemas.openxmlformats.org/spreadsheetml/2006/main" count="149" uniqueCount="40">
  <si>
    <t>Plot No</t>
  </si>
  <si>
    <t>Area (Sqft)</t>
  </si>
  <si>
    <t>Area (Sqm)</t>
  </si>
  <si>
    <t>Facing</t>
  </si>
  <si>
    <t>Plot Loc</t>
  </si>
  <si>
    <t>Base Rate</t>
  </si>
  <si>
    <t>Status</t>
  </si>
  <si>
    <t>West</t>
  </si>
  <si>
    <t>East</t>
  </si>
  <si>
    <t>North</t>
  </si>
  <si>
    <t>East/North</t>
  </si>
  <si>
    <t>West/North</t>
  </si>
  <si>
    <t>South/West</t>
  </si>
  <si>
    <t>East/South</t>
  </si>
  <si>
    <t>West/South</t>
  </si>
  <si>
    <t>Corner</t>
  </si>
  <si>
    <t>Front</t>
  </si>
  <si>
    <t>Center</t>
  </si>
  <si>
    <t>Total Cost</t>
  </si>
  <si>
    <t>Sold</t>
  </si>
  <si>
    <t>Available</t>
  </si>
  <si>
    <t>Customer Name:</t>
  </si>
  <si>
    <t>Booking Amount</t>
  </si>
  <si>
    <t>Booking Date</t>
  </si>
  <si>
    <t>Total Received</t>
  </si>
  <si>
    <t>Balance</t>
  </si>
  <si>
    <t>Total Plots</t>
  </si>
  <si>
    <t>Column1</t>
  </si>
  <si>
    <t>Column2</t>
  </si>
  <si>
    <t>Column3</t>
  </si>
  <si>
    <t>Column4</t>
  </si>
  <si>
    <t>Column5</t>
  </si>
  <si>
    <t>Column6</t>
  </si>
  <si>
    <t>Column7</t>
  </si>
  <si>
    <t>Column8</t>
  </si>
  <si>
    <t>Column9</t>
  </si>
  <si>
    <t>Column10</t>
  </si>
  <si>
    <t>Real-Time Inventory Management &amp; Visualization Dashboard.</t>
  </si>
  <si>
    <t>Sangita Bawasker</t>
  </si>
  <si>
    <t>Anil Bawasker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</si>
</sst>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00"/>
    <numFmt numFmtId="165" formatCode="_ * #,##0_ ;_ * \-#,##0_ ;_ * &quot;-&quot;??_ ;_ @_ "/>
  </numFmts>
  <fonts count="11"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14"/>
      <color theme="0"/>
      <name val="Calibri"/>
      <family val="2"/>
      <scheme val="minor"/>
    </font>
    <font>
      <b/>
      <sz val="16"/>
      <color theme="0"/>
      <name val="Calibri"/>
      <family val="2"/>
      <scheme val="minor"/>
    </font>
    <font>
      <b/>
      <sz val="22"/>
      <color theme="0"/>
      <name val="Calibri"/>
      <family val="2"/>
      <scheme val="minor"/>
    </font>
    <font>
      <sz val="16"/>
      <color theme="1"/>
      <name val="Calibri"/>
      <family val="2"/>
      <scheme val="minor"/>
    </font>
    <font>
      <sz val="10"/>
      <color theme="1"/>
      <name val="Calibri"/>
      <family val="2"/>
      <scheme val="minor"/>
    </font>
    <font>
      <sz val="16"/>
      <color theme="1" tint="4.9989318521683403E-2"/>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4" tint="-0.249977111117893"/>
        <bgColor indexed="64"/>
      </patternFill>
    </fill>
    <fill>
      <patternFill patternType="solid">
        <fgColor theme="0"/>
        <bgColor indexed="64"/>
      </patternFill>
    </fill>
    <fill>
      <patternFill patternType="solid">
        <fgColor theme="1"/>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6">
    <xf numFmtId="0" fontId="0" fillId="0" borderId="0" xfId="0"/>
    <xf numFmtId="0" fontId="0" fillId="0" borderId="0" xfId="0" applyAlignment="1">
      <alignment horizontal="center"/>
    </xf>
    <xf numFmtId="0" fontId="4" fillId="0" borderId="0" xfId="0" applyFont="1" applyAlignment="1">
      <alignment horizontal="center"/>
    </xf>
    <xf numFmtId="0" fontId="0" fillId="4" borderId="0" xfId="0" applyFill="1"/>
    <xf numFmtId="0" fontId="3" fillId="4" borderId="0" xfId="0" applyFont="1" applyFill="1"/>
    <xf numFmtId="0" fontId="5" fillId="5" borderId="0" xfId="0" applyFont="1" applyFill="1" applyAlignment="1">
      <alignment horizontal="center" vertical="center"/>
    </xf>
    <xf numFmtId="0" fontId="6" fillId="5" borderId="0" xfId="0" applyFont="1" applyFill="1" applyAlignment="1">
      <alignment horizontal="center" vertical="center"/>
    </xf>
    <xf numFmtId="0" fontId="2" fillId="5" borderId="0" xfId="0" applyFont="1" applyFill="1" applyAlignment="1">
      <alignment horizontal="center" vertical="center"/>
    </xf>
    <xf numFmtId="0" fontId="0" fillId="0" borderId="0" xfId="0" applyAlignment="1">
      <alignment horizontal="left" vertical="center"/>
    </xf>
    <xf numFmtId="0" fontId="0" fillId="0" borderId="0" xfId="0" applyAlignment="1">
      <alignment vertical="center"/>
    </xf>
    <xf numFmtId="0" fontId="0" fillId="0" borderId="1" xfId="0" applyBorder="1" applyAlignment="1">
      <alignment horizontal="center" vertical="center"/>
    </xf>
    <xf numFmtId="0" fontId="8" fillId="0" borderId="0" xfId="0" applyFont="1" applyAlignment="1">
      <alignment horizontal="center"/>
    </xf>
    <xf numFmtId="164" fontId="8" fillId="0" borderId="0" xfId="0" applyNumberFormat="1" applyFont="1" applyAlignment="1">
      <alignment horizontal="center"/>
    </xf>
    <xf numFmtId="165" fontId="8" fillId="0" borderId="0" xfId="1" applyNumberFormat="1" applyFont="1" applyAlignment="1">
      <alignment horizontal="center"/>
    </xf>
    <xf numFmtId="165" fontId="8" fillId="0" borderId="0" xfId="0" applyNumberFormat="1" applyFont="1" applyAlignment="1">
      <alignment horizontal="center"/>
    </xf>
    <xf numFmtId="15" fontId="8" fillId="0" borderId="0" xfId="0" applyNumberFormat="1" applyFont="1" applyAlignment="1">
      <alignment horizontal="center"/>
    </xf>
    <xf numFmtId="3" fontId="8" fillId="0" borderId="0" xfId="0" applyNumberFormat="1" applyFont="1" applyAlignment="1">
      <alignment horizontal="center"/>
    </xf>
    <xf numFmtId="0" fontId="8" fillId="6" borderId="0" xfId="0" applyFont="1" applyFill="1" applyAlignment="1">
      <alignment horizontal="center"/>
    </xf>
    <xf numFmtId="0" fontId="9" fillId="0" borderId="0" xfId="0" applyFont="1"/>
    <xf numFmtId="0" fontId="10" fillId="2" borderId="0" xfId="0" applyFont="1" applyFill="1" applyAlignment="1">
      <alignment horizontal="center"/>
    </xf>
    <xf numFmtId="43" fontId="10" fillId="2" borderId="0" xfId="1" applyFont="1" applyFill="1" applyAlignment="1"/>
    <xf numFmtId="43" fontId="8" fillId="0" borderId="0" xfId="1" applyFont="1" applyAlignment="1"/>
    <xf numFmtId="43" fontId="0" fillId="0" borderId="0" xfId="1" applyFont="1" applyAlignment="1"/>
    <xf numFmtId="43" fontId="8" fillId="0" borderId="0" xfId="0" applyNumberFormat="1" applyFont="1"/>
    <xf numFmtId="0" fontId="7" fillId="3" borderId="0" xfId="0" applyFont="1" applyFill="1" applyAlignment="1">
      <alignment horizontal="center" vertical="center"/>
    </xf>
    <xf numFmtId="0" fontId="3" fillId="3" borderId="0" xfId="0" applyFont="1" applyFill="1" applyAlignment="1">
      <alignment horizontal="center" vertical="center"/>
    </xf>
  </cellXfs>
  <cellStyles count="2">
    <cellStyle name="Comma" xfId="1" builtinId="3"/>
    <cellStyle name="Normal" xfId="0" builtinId="0"/>
  </cellStyles>
  <dxfs count="61">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name val="Calibri"/>
        <family val="2"/>
        <scheme val="minor"/>
      </font>
      <numFmt numFmtId="165" formatCode="_ * #,##0_ ;_ * \-#,##0_ ;_ * &quot;-&quot;??_ ;_ @_ "/>
      <alignment horizontal="center" vertical="bottom" textRotation="0" wrapText="0" indent="0" justifyLastLine="0" shrinkToFit="0" readingOrder="0"/>
    </dxf>
    <dxf>
      <font>
        <b val="0"/>
        <i val="0"/>
        <strike val="0"/>
        <condense val="0"/>
        <extend val="0"/>
        <outline val="0"/>
        <shadow val="0"/>
        <u val="none"/>
        <vertAlign val="baseline"/>
        <sz val="16"/>
        <color theme="1"/>
        <name val="Calibri"/>
        <family val="2"/>
        <scheme val="minor"/>
      </font>
      <numFmt numFmtId="35" formatCode="_ * #,##0.00_ ;_ * \-#,##0.00_ ;_ * &quot;-&quot;??_ ;_ @_ "/>
    </dxf>
    <dxf>
      <font>
        <strike val="0"/>
        <outline val="0"/>
        <shadow val="0"/>
        <u val="none"/>
        <vertAlign val="baseline"/>
        <sz val="16"/>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6"/>
        <color theme="1"/>
        <name val="Calibri"/>
        <family val="2"/>
        <scheme val="minor"/>
      </font>
      <numFmt numFmtId="165" formatCode="_ * #,##0_ ;_ * \-#,##0_ ;_ * &quot;-&quot;??_ ;_ @_ "/>
      <alignment horizontal="center" vertical="bottom" textRotation="0" wrapText="0" indent="0" justifyLastLine="0" shrinkToFit="0" readingOrder="0"/>
    </dxf>
    <dxf>
      <font>
        <b val="0"/>
        <i val="0"/>
        <strike val="0"/>
        <condense val="0"/>
        <extend val="0"/>
        <outline val="0"/>
        <shadow val="0"/>
        <u val="none"/>
        <vertAlign val="baseline"/>
        <sz val="16"/>
        <color theme="1"/>
        <name val="Calibri"/>
        <family val="2"/>
        <scheme val="minor"/>
      </font>
      <numFmt numFmtId="165" formatCode="_ * #,##0_ ;_ * \-#,##0_ ;_ * &quot;-&quot;??_ ;_ @_ "/>
      <alignment horizontal="center" vertical="bottom"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6"/>
        <color theme="1"/>
        <name val="Calibri"/>
        <family val="2"/>
        <scheme val="minor"/>
      </font>
      <numFmt numFmtId="164" formatCode="0.000"/>
      <alignment horizontal="center" vertical="bottom" textRotation="0" wrapText="0" indent="0" justifyLastLine="0" shrinkToFit="0" readingOrder="0"/>
    </dxf>
    <dxf>
      <font>
        <strike val="0"/>
        <outline val="0"/>
        <shadow val="0"/>
        <u val="none"/>
        <vertAlign val="baseline"/>
        <sz val="16"/>
        <name val="Calibri"/>
        <family val="2"/>
        <scheme val="minor"/>
      </font>
      <numFmt numFmtId="164" formatCode="0.000"/>
      <alignment horizontal="center" vertical="bottom"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name val="Calibri"/>
        <family val="2"/>
        <scheme val="minor"/>
      </font>
      <alignment horizontal="center" vertical="bottom" textRotation="0" wrapText="0" indent="0" justifyLastLine="0" shrinkToFit="0" readingOrder="0"/>
    </dxf>
    <dxf>
      <font>
        <strike val="0"/>
        <outline val="0"/>
        <shadow val="0"/>
        <u val="none"/>
        <vertAlign val="baseline"/>
        <sz val="16"/>
        <name val="Calibri"/>
        <family val="2"/>
        <scheme val="minor"/>
      </font>
      <alignment horizontal="center" vertical="bottom" textRotation="0" wrapText="0" indent="0" justifyLastLine="0" shrinkToFit="0" readingOrder="0"/>
    </dxf>
    <dxf>
      <font>
        <strike val="0"/>
        <outline val="0"/>
        <shadow val="0"/>
        <u val="none"/>
        <vertAlign val="baseline"/>
        <sz val="16"/>
        <name val="Calibri"/>
        <family val="2"/>
        <scheme val="minor"/>
      </font>
      <alignment horizontal="center" vertical="bottom" textRotation="0" wrapText="0" indent="0" justifyLastLine="0" shrinkToFit="0" readingOrder="0"/>
    </dxf>
    <dxf>
      <font>
        <strike val="0"/>
        <outline val="0"/>
        <shadow val="0"/>
        <u val="none"/>
        <vertAlign val="baseline"/>
        <sz val="16"/>
        <color theme="1" tint="4.9989318521683403E-2"/>
        <name val="Calibri"/>
        <family val="2"/>
        <scheme val="minor"/>
      </font>
      <fill>
        <patternFill patternType="solid">
          <fgColor indexed="64"/>
          <bgColor rgb="FFFFFF00"/>
        </patternFill>
      </fill>
      <alignment horizontal="center" vertical="bottom" textRotation="0" wrapText="0" indent="0" justifyLastLine="0" shrinkToFit="0" readingOrder="0"/>
    </dxf>
  </dxfs>
  <tableStyles count="0" defaultTableStyle="TableStyleMedium2" defaultPivotStyle="PivotStyleLight16"/>
  <colors>
    <mruColors>
      <color rgb="FF7A0000"/>
      <color rgb="FFE564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absolute">
    <xdr:from>
      <xdr:col>0</xdr:col>
      <xdr:colOff>53537</xdr:colOff>
      <xdr:row>0</xdr:row>
      <xdr:rowOff>0</xdr:rowOff>
    </xdr:from>
    <xdr:to>
      <xdr:col>0</xdr:col>
      <xdr:colOff>1882337</xdr:colOff>
      <xdr:row>4</xdr:row>
      <xdr:rowOff>84315</xdr:rowOff>
    </xdr:to>
    <mc:AlternateContent xmlns:mc="http://schemas.openxmlformats.org/markup-compatibility/2006" xmlns:sle15="http://schemas.microsoft.com/office/drawing/2012/slicer">
      <mc:Choice Requires="sle15">
        <xdr:graphicFrame macro="">
          <xdr:nvGraphicFramePr>
            <xdr:cNvPr id="6" name="Plot Loc">
              <a:extLst>
                <a:ext uri="{FF2B5EF4-FFF2-40B4-BE49-F238E27FC236}">
                  <a16:creationId xmlns:a16="http://schemas.microsoft.com/office/drawing/2014/main" id="{B4A80390-8FD3-4866-AF16-442BCC807C6C}"/>
                </a:ext>
              </a:extLst>
            </xdr:cNvPr>
            <xdr:cNvGraphicFramePr/>
          </xdr:nvGraphicFramePr>
          <xdr:xfrm>
            <a:off x="0" y="0"/>
            <a:ext cx="0" cy="0"/>
          </xdr:xfrm>
          <a:graphic>
            <a:graphicData uri="http://schemas.microsoft.com/office/drawing/2010/slicer">
              <sle:slicer xmlns:sle="http://schemas.microsoft.com/office/drawing/2010/slicer" name="Plot Loc"/>
            </a:graphicData>
          </a:graphic>
        </xdr:graphicFrame>
      </mc:Choice>
      <mc:Fallback xmlns="">
        <xdr:sp macro="" textlink="">
          <xdr:nvSpPr>
            <xdr:cNvPr id="0" name=""/>
            <xdr:cNvSpPr>
              <a:spLocks noTextEdit="1"/>
            </xdr:cNvSpPr>
          </xdr:nvSpPr>
          <xdr:spPr>
            <a:xfrm>
              <a:off x="53537" y="0"/>
              <a:ext cx="1828800" cy="96605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32658</xdr:colOff>
      <xdr:row>5</xdr:row>
      <xdr:rowOff>108858</xdr:rowOff>
    </xdr:from>
    <xdr:to>
      <xdr:col>0</xdr:col>
      <xdr:colOff>1861458</xdr:colOff>
      <xdr:row>11</xdr:row>
      <xdr:rowOff>54430</xdr:rowOff>
    </xdr:to>
    <mc:AlternateContent xmlns:mc="http://schemas.openxmlformats.org/markup-compatibility/2006" xmlns:sle15="http://schemas.microsoft.com/office/drawing/2012/slicer">
      <mc:Choice Requires="sle15">
        <xdr:graphicFrame macro="">
          <xdr:nvGraphicFramePr>
            <xdr:cNvPr id="2" name="Area (Sqft)">
              <a:extLst>
                <a:ext uri="{FF2B5EF4-FFF2-40B4-BE49-F238E27FC236}">
                  <a16:creationId xmlns:a16="http://schemas.microsoft.com/office/drawing/2014/main" id="{8AC33F53-5CAE-442B-8AEE-49B01C3992B0}"/>
                </a:ext>
              </a:extLst>
            </xdr:cNvPr>
            <xdr:cNvGraphicFramePr/>
          </xdr:nvGraphicFramePr>
          <xdr:xfrm>
            <a:off x="0" y="0"/>
            <a:ext cx="0" cy="0"/>
          </xdr:xfrm>
          <a:graphic>
            <a:graphicData uri="http://schemas.microsoft.com/office/drawing/2010/slicer">
              <sle:slicer xmlns:sle="http://schemas.microsoft.com/office/drawing/2010/slicer" name="Area (Sqft)"/>
            </a:graphicData>
          </a:graphic>
        </xdr:graphicFrame>
      </mc:Choice>
      <mc:Fallback xmlns="">
        <xdr:sp macro="" textlink="">
          <xdr:nvSpPr>
            <xdr:cNvPr id="0" name=""/>
            <xdr:cNvSpPr>
              <a:spLocks noTextEdit="1"/>
            </xdr:cNvSpPr>
          </xdr:nvSpPr>
          <xdr:spPr>
            <a:xfrm>
              <a:off x="32658" y="1175658"/>
              <a:ext cx="1828800" cy="306977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ot_Loc" xr10:uid="{770D0A14-7BBE-4A3E-BB72-94D4984A50B8}" sourceName="Plot Loc">
  <extLst>
    <x:ext xmlns:x15="http://schemas.microsoft.com/office/spreadsheetml/2010/11/main" uri="{2F2917AC-EB37-4324-AD4E-5DD8C200BD13}">
      <x15:tableSlicerCache tableId="1"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_Sqft" xr10:uid="{D86A798A-FB09-42ED-B66C-D850FDF2E1D2}" sourceName="Area (Sqft)">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ot Loc" xr10:uid="{126362FD-6D30-4BF3-B93D-F0E1EC2B2E9D}" cache="Slicer_Plot_Loc" caption="Plot Loc" rowHeight="234950"/>
  <slicer name="Area (Sqft)" xr10:uid="{B2FA89DD-2179-4D58-A795-8D976A2624DC}" cache="Slicer_Area__Sqft" caption="Area (Sqf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5B2809-BB3D-4C44-AC9C-EFB80EB00028}" name="Table1" displayName="Table1" ref="A1:M42" totalsRowCount="1" headerRowDxfId="60" dataDxfId="59" totalsRowDxfId="58">
  <autoFilter ref="A1:M41" xr:uid="{6D5B2809-BB3D-4C44-AC9C-EFB80EB00028}">
    <filterColumn colId="3">
      <filters>
        <filter val="West"/>
      </filters>
    </filterColumn>
  </autoFilter>
  <sortState xmlns:xlrd2="http://schemas.microsoft.com/office/spreadsheetml/2017/richdata2" ref="A15:M41">
    <sortCondition ref="A1:A41"/>
  </sortState>
  <tableColumns count="13">
    <tableColumn id="1" xr3:uid="{33638B60-E83E-4502-BF9A-65B500FDEA81}" name="Plot No" dataDxfId="57" totalsRowDxfId="56"/>
    <tableColumn id="2" xr3:uid="{8B998633-E6F7-42E9-8C3F-86388D608E85}" name="Area (Sqft)" dataDxfId="55" totalsRowDxfId="54"/>
    <tableColumn id="3" xr3:uid="{50B3D920-E682-461A-849B-D0367CBE1E5D}" name="Area (Sqm)" dataDxfId="53" totalsRowDxfId="52">
      <calculatedColumnFormula>B2/10.764</calculatedColumnFormula>
    </tableColumn>
    <tableColumn id="4" xr3:uid="{EB4396BF-0D59-4083-9DA2-2AB97CF422E1}" name="Facing" dataDxfId="51" totalsRowDxfId="50"/>
    <tableColumn id="5" xr3:uid="{94B82CE8-8037-481F-8A9C-6F977B295E51}" name="Plot Loc" dataDxfId="49" totalsRowDxfId="48"/>
    <tableColumn id="6" xr3:uid="{198EDA65-CD57-44CD-BD14-8ABFCD974725}" name="Base Rate" dataDxfId="47" totalsRowDxfId="46"/>
    <tableColumn id="7" xr3:uid="{E1007347-7537-4DC5-AE95-D285CF42CB62}" name="Total Cost" totalsRowFunction="custom" dataDxfId="45" totalsRowDxfId="44" dataCellStyle="Comma">
      <calculatedColumnFormula>B2*F2</calculatedColumnFormula>
      <totalsRowFormula>SUM(Table1[Total Cost])</totalsRowFormula>
    </tableColumn>
    <tableColumn id="8" xr3:uid="{0AC15277-7B34-4DD6-A386-2518F37139F6}" name="Status" dataDxfId="43" totalsRowDxfId="42"/>
    <tableColumn id="11" xr3:uid="{3BC222EB-9AF3-43DA-B482-650F05DD55B2}" name="Customer Name:" dataDxfId="41" totalsRowDxfId="40">
      <calculatedColumnFormula>SUBTOTAL(103, A2)</calculatedColumnFormula>
    </tableColumn>
    <tableColumn id="9" xr3:uid="{B4ED9C31-C60C-4D70-90B2-614C150013F3}" name="Booking Date" dataDxfId="39" totalsRowDxfId="38"/>
    <tableColumn id="10" xr3:uid="{F1FFF8A3-AAD2-4584-B14B-0F4A8FEC5280}" name="Booking Amount" dataDxfId="37" totalsRowDxfId="36"/>
    <tableColumn id="12" xr3:uid="{AC910242-A574-4701-97EF-BB533534535B}" name="Total Received" dataDxfId="35" totalsRowDxfId="34" dataCellStyle="Comma"/>
    <tableColumn id="13" xr3:uid="{59DA588C-82BA-4334-9C79-DA6CAEBF48B4}" name="Balance" dataDxfId="33" totalsRowDxfId="32">
      <calculatedColumnFormula>Table1[[#This Row],[Total Cost]]-Table1[[#This Row],[Total Received]]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04CD94-5033-4C97-8CF8-64A57CB49B4B}" name="Table4" displayName="Table4" ref="B7:K11" totalsRowShown="0" headerRowDxfId="31" dataDxfId="30">
  <autoFilter ref="B7:K11" xr:uid="{C404CD94-5033-4C97-8CF8-64A57CB49B4B}"/>
  <tableColumns count="10">
    <tableColumn id="1" xr3:uid="{2A335851-55C3-4F3D-8ADC-CBF39E0C3D79}" name="Column1" dataDxfId="29"/>
    <tableColumn id="2" xr3:uid="{F658F2E0-AFDE-4D69-8ADF-0CDA3062F3EC}" name="Column2" dataDxfId="28"/>
    <tableColumn id="3" xr3:uid="{4F98A48E-620E-4F16-836C-6BA3CFC7C35A}" name="Column3" dataDxfId="27"/>
    <tableColumn id="4" xr3:uid="{B8B0C7A5-28BB-473B-B2D0-28965B8052B8}" name="Column4" dataDxfId="26"/>
    <tableColumn id="5" xr3:uid="{B75806D2-D317-4419-8C0C-B1CBD422A890}" name="Column5" dataDxfId="25"/>
    <tableColumn id="6" xr3:uid="{13971B35-3CEC-4B9C-9A11-ABDC62F35B2E}" name="Column6" dataDxfId="24"/>
    <tableColumn id="7" xr3:uid="{149437D1-9279-4D95-8A8B-76EF2A4DE7FF}" name="Column7" dataDxfId="23"/>
    <tableColumn id="8" xr3:uid="{F6476662-1D63-49B0-8A62-239412D57121}" name="Column8" dataDxfId="22"/>
    <tableColumn id="9" xr3:uid="{749C35F2-DDBA-42C9-9572-B0BDC0E74968}" name="Column9" dataDxfId="21"/>
    <tableColumn id="10" xr3:uid="{952A8530-807E-4722-A97A-7C7F23A79122}" name="Column10" dataDxf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1A4A7-F150-4237-8D56-C0E4CF41281C}">
  <dimension ref="A1:R42"/>
  <sheetViews>
    <sheetView zoomScale="55" zoomScaleNormal="55" workbookViewId="0">
      <selection activeCell="I48" sqref="I48"/>
    </sheetView>
  </sheetViews>
  <sheetFormatPr defaultColWidth="20.77734375" defaultRowHeight="14.4" x14ac:dyDescent="0.3"/>
  <cols>
    <col min="4" max="8" width="20.77734375" style="1"/>
    <col min="9" max="9" width="25.6640625" style="1" customWidth="1"/>
    <col min="10" max="10" width="23" style="1" customWidth="1"/>
    <col min="11" max="11" width="27.109375" style="1" customWidth="1"/>
    <col min="12" max="12" width="24.6640625" style="22" customWidth="1"/>
    <col min="13" max="13" width="20.77734375" style="1"/>
  </cols>
  <sheetData>
    <row r="1" spans="1:18" ht="15" customHeight="1" x14ac:dyDescent="0.4">
      <c r="A1" s="19" t="s">
        <v>0</v>
      </c>
      <c r="B1" s="19" t="s">
        <v>1</v>
      </c>
      <c r="C1" s="19" t="s">
        <v>2</v>
      </c>
      <c r="D1" s="19" t="s">
        <v>3</v>
      </c>
      <c r="E1" s="19" t="s">
        <v>4</v>
      </c>
      <c r="F1" s="19" t="s">
        <v>5</v>
      </c>
      <c r="G1" s="19" t="s">
        <v>18</v>
      </c>
      <c r="H1" s="19" t="s">
        <v>6</v>
      </c>
      <c r="I1" s="19" t="s">
        <v>21</v>
      </c>
      <c r="J1" s="19" t="s">
        <v>23</v>
      </c>
      <c r="K1" s="19" t="s">
        <v>22</v>
      </c>
      <c r="L1" s="20" t="s">
        <v>24</v>
      </c>
      <c r="M1" s="19" t="s">
        <v>25</v>
      </c>
    </row>
    <row r="2" spans="1:18" ht="15" customHeight="1" x14ac:dyDescent="0.4">
      <c r="A2" s="11">
        <v>1</v>
      </c>
      <c r="B2" s="11">
        <v>1012.33</v>
      </c>
      <c r="C2" s="12">
        <f>B2/10.764</f>
        <v>94.047751765143076</v>
      </c>
      <c r="D2" s="11" t="s">
        <v>9</v>
      </c>
      <c r="E2" s="11" t="s">
        <v>15</v>
      </c>
      <c r="F2" s="11">
        <v>3500</v>
      </c>
      <c r="G2" s="13">
        <f>B2*F2</f>
        <v>3543155</v>
      </c>
      <c r="H2" s="11" t="s">
        <v>20</v>
      </c>
      <c r="I2" s="11"/>
      <c r="J2" s="11"/>
      <c r="K2" s="11"/>
      <c r="L2" s="21"/>
      <c r="M2" s="14">
        <f>Table1[[#This Row],[Total Cost]]-Table1[[#This Row],[Total Received]]</f>
        <v>3543155</v>
      </c>
    </row>
    <row r="3" spans="1:18" ht="15" customHeight="1" x14ac:dyDescent="0.4">
      <c r="A3" s="11">
        <v>2</v>
      </c>
      <c r="B3" s="11">
        <v>1098.1199999999999</v>
      </c>
      <c r="C3" s="12">
        <f t="shared" ref="C3:C14" si="0">B3/10.764</f>
        <v>102.01783723522854</v>
      </c>
      <c r="D3" s="11" t="s">
        <v>9</v>
      </c>
      <c r="E3" s="11" t="s">
        <v>16</v>
      </c>
      <c r="F3" s="11">
        <v>3500</v>
      </c>
      <c r="G3" s="13">
        <f t="shared" ref="G3:G14" si="1">B3*F3</f>
        <v>3843419.9999999995</v>
      </c>
      <c r="H3" s="11" t="s">
        <v>20</v>
      </c>
      <c r="I3" s="11"/>
      <c r="J3" s="11"/>
      <c r="K3" s="11"/>
      <c r="L3" s="21"/>
      <c r="M3" s="14">
        <f>Table1[[#This Row],[Total Cost]]-Table1[[#This Row],[Total Received]]</f>
        <v>3843419.9999999995</v>
      </c>
    </row>
    <row r="4" spans="1:18" ht="15" customHeight="1" x14ac:dyDescent="0.4">
      <c r="A4" s="11">
        <v>3</v>
      </c>
      <c r="B4" s="11">
        <v>1097.5</v>
      </c>
      <c r="C4" s="12">
        <f t="shared" si="0"/>
        <v>101.96023782980305</v>
      </c>
      <c r="D4" s="11" t="s">
        <v>9</v>
      </c>
      <c r="E4" s="11" t="s">
        <v>16</v>
      </c>
      <c r="F4" s="11">
        <v>3500</v>
      </c>
      <c r="G4" s="13">
        <f t="shared" si="1"/>
        <v>3841250</v>
      </c>
      <c r="H4" s="11" t="s">
        <v>20</v>
      </c>
      <c r="I4" s="11"/>
      <c r="J4" s="11"/>
      <c r="K4" s="11"/>
      <c r="L4" s="21"/>
      <c r="M4" s="14">
        <f>Table1[[#This Row],[Total Cost]]-Table1[[#This Row],[Total Received]]</f>
        <v>3841250</v>
      </c>
    </row>
    <row r="5" spans="1:18" ht="15" customHeight="1" x14ac:dyDescent="0.4">
      <c r="A5" s="11">
        <v>4</v>
      </c>
      <c r="B5" s="11">
        <v>1092.77</v>
      </c>
      <c r="C5" s="12">
        <f t="shared" si="0"/>
        <v>101.52081010776664</v>
      </c>
      <c r="D5" s="11" t="s">
        <v>9</v>
      </c>
      <c r="E5" s="11" t="s">
        <v>16</v>
      </c>
      <c r="F5" s="11">
        <v>3500</v>
      </c>
      <c r="G5" s="13">
        <f>B5*F5</f>
        <v>3824695</v>
      </c>
      <c r="H5" s="11" t="s">
        <v>20</v>
      </c>
      <c r="I5" s="11"/>
      <c r="J5" s="15"/>
      <c r="K5" s="16"/>
      <c r="L5" s="21"/>
      <c r="M5" s="14">
        <f>Table1[[#This Row],[Total Cost]]-Table1[[#This Row],[Total Received]]</f>
        <v>3824695</v>
      </c>
    </row>
    <row r="6" spans="1:18" ht="15" customHeight="1" x14ac:dyDescent="0.4">
      <c r="A6" s="11">
        <v>5</v>
      </c>
      <c r="B6" s="11">
        <v>1195.53</v>
      </c>
      <c r="C6" s="12">
        <f>B6/10.764</f>
        <v>111.06744704570792</v>
      </c>
      <c r="D6" s="11" t="s">
        <v>10</v>
      </c>
      <c r="E6" s="11" t="s">
        <v>16</v>
      </c>
      <c r="F6" s="11">
        <v>3500</v>
      </c>
      <c r="G6" s="13">
        <f>B6*F6</f>
        <v>4184355</v>
      </c>
      <c r="H6" s="17" t="s">
        <v>19</v>
      </c>
      <c r="I6" s="11" t="s">
        <v>38</v>
      </c>
      <c r="J6" s="15">
        <v>46082</v>
      </c>
      <c r="K6" s="21">
        <v>4184355</v>
      </c>
      <c r="L6" s="21">
        <v>4184355</v>
      </c>
      <c r="M6" s="14">
        <f>Table1[[#This Row],[Total Cost]]-Table1[[#This Row],[Total Received]]</f>
        <v>0</v>
      </c>
    </row>
    <row r="7" spans="1:18" ht="15" customHeight="1" x14ac:dyDescent="0.4">
      <c r="A7" s="11">
        <v>6</v>
      </c>
      <c r="B7" s="11">
        <v>1207.8599999999999</v>
      </c>
      <c r="C7" s="12">
        <f t="shared" si="0"/>
        <v>112.21293199554069</v>
      </c>
      <c r="D7" s="11" t="s">
        <v>11</v>
      </c>
      <c r="E7" s="11" t="s">
        <v>16</v>
      </c>
      <c r="F7" s="11">
        <v>3500</v>
      </c>
      <c r="G7" s="13">
        <f>B7*F7</f>
        <v>4227510</v>
      </c>
      <c r="H7" s="17" t="s">
        <v>19</v>
      </c>
      <c r="I7" s="11" t="s">
        <v>39</v>
      </c>
      <c r="J7" s="15">
        <v>46085</v>
      </c>
      <c r="K7" s="21">
        <v>4227510</v>
      </c>
      <c r="L7" s="21">
        <v>4227510</v>
      </c>
      <c r="M7" s="14">
        <f>Table1[[#This Row],[Total Cost]]-Table1[[#This Row],[Total Received]]</f>
        <v>0</v>
      </c>
    </row>
    <row r="8" spans="1:18" ht="15" customHeight="1" x14ac:dyDescent="0.4">
      <c r="A8" s="11">
        <v>7</v>
      </c>
      <c r="B8" s="11">
        <v>901.02</v>
      </c>
      <c r="C8" s="12">
        <f t="shared" si="0"/>
        <v>83.706800445930881</v>
      </c>
      <c r="D8" s="11" t="s">
        <v>9</v>
      </c>
      <c r="E8" s="11" t="s">
        <v>16</v>
      </c>
      <c r="F8" s="11">
        <v>3500</v>
      </c>
      <c r="G8" s="13">
        <f t="shared" si="1"/>
        <v>3153570</v>
      </c>
      <c r="H8" s="11" t="s">
        <v>20</v>
      </c>
      <c r="I8" s="11"/>
      <c r="J8" s="11"/>
      <c r="K8" s="11"/>
      <c r="L8" s="21"/>
      <c r="M8" s="14">
        <f>Table1[[#This Row],[Total Cost]]-Table1[[#This Row],[Total Received]]</f>
        <v>3153570</v>
      </c>
    </row>
    <row r="9" spans="1:18" ht="15" customHeight="1" x14ac:dyDescent="0.4">
      <c r="A9" s="11">
        <v>8</v>
      </c>
      <c r="B9" s="11">
        <v>901.16</v>
      </c>
      <c r="C9" s="12">
        <f t="shared" si="0"/>
        <v>83.719806763285021</v>
      </c>
      <c r="D9" s="11" t="s">
        <v>9</v>
      </c>
      <c r="E9" s="11" t="s">
        <v>16</v>
      </c>
      <c r="F9" s="11">
        <v>3500</v>
      </c>
      <c r="G9" s="13">
        <f t="shared" si="1"/>
        <v>3154060</v>
      </c>
      <c r="H9" s="11" t="s">
        <v>20</v>
      </c>
      <c r="I9" s="11"/>
      <c r="J9" s="11"/>
      <c r="K9" s="11"/>
      <c r="L9" s="21"/>
      <c r="M9" s="14">
        <f>Table1[[#This Row],[Total Cost]]-Table1[[#This Row],[Total Received]]</f>
        <v>3154060</v>
      </c>
    </row>
    <row r="10" spans="1:18" ht="15" customHeight="1" x14ac:dyDescent="0.4">
      <c r="A10" s="11">
        <v>9</v>
      </c>
      <c r="B10" s="11">
        <v>901.16</v>
      </c>
      <c r="C10" s="12">
        <f t="shared" si="0"/>
        <v>83.719806763285021</v>
      </c>
      <c r="D10" s="11" t="s">
        <v>9</v>
      </c>
      <c r="E10" s="11" t="s">
        <v>16</v>
      </c>
      <c r="F10" s="11">
        <v>3500</v>
      </c>
      <c r="G10" s="13">
        <f t="shared" si="1"/>
        <v>3154060</v>
      </c>
      <c r="H10" s="11" t="s">
        <v>20</v>
      </c>
      <c r="I10" s="11"/>
      <c r="J10" s="11"/>
      <c r="K10" s="11"/>
      <c r="L10" s="21"/>
      <c r="M10" s="14">
        <f>Table1[[#This Row],[Total Cost]]-Table1[[#This Row],[Total Received]]</f>
        <v>3154060</v>
      </c>
    </row>
    <row r="11" spans="1:18" ht="15" customHeight="1" x14ac:dyDescent="0.4">
      <c r="A11" s="11">
        <v>10</v>
      </c>
      <c r="B11" s="11">
        <v>901.16</v>
      </c>
      <c r="C11" s="12">
        <f t="shared" si="0"/>
        <v>83.719806763285021</v>
      </c>
      <c r="D11" s="11" t="s">
        <v>9</v>
      </c>
      <c r="E11" s="11" t="s">
        <v>16</v>
      </c>
      <c r="F11" s="11">
        <v>3500</v>
      </c>
      <c r="G11" s="13">
        <f t="shared" si="1"/>
        <v>3154060</v>
      </c>
      <c r="H11" s="11" t="s">
        <v>20</v>
      </c>
      <c r="I11" s="11"/>
      <c r="J11" s="11"/>
      <c r="K11" s="11"/>
      <c r="L11" s="21"/>
      <c r="M11" s="14">
        <f>Table1[[#This Row],[Total Cost]]-Table1[[#This Row],[Total Received]]</f>
        <v>3154060</v>
      </c>
    </row>
    <row r="12" spans="1:18" ht="15" customHeight="1" x14ac:dyDescent="0.4">
      <c r="A12" s="11">
        <v>11</v>
      </c>
      <c r="B12" s="11">
        <v>902.44</v>
      </c>
      <c r="C12" s="12">
        <f t="shared" si="0"/>
        <v>83.838721664808631</v>
      </c>
      <c r="D12" s="11" t="s">
        <v>9</v>
      </c>
      <c r="E12" s="11" t="s">
        <v>16</v>
      </c>
      <c r="F12" s="11">
        <v>3500</v>
      </c>
      <c r="G12" s="13">
        <f t="shared" si="1"/>
        <v>3158540</v>
      </c>
      <c r="H12" s="11" t="s">
        <v>20</v>
      </c>
      <c r="I12" s="11"/>
      <c r="J12" s="11"/>
      <c r="K12" s="11"/>
      <c r="L12" s="21"/>
      <c r="M12" s="14">
        <f>Table1[[#This Row],[Total Cost]]-Table1[[#This Row],[Total Received]]</f>
        <v>3158540</v>
      </c>
    </row>
    <row r="13" spans="1:18" ht="15" customHeight="1" x14ac:dyDescent="0.4">
      <c r="A13" s="11">
        <v>12</v>
      </c>
      <c r="B13" s="11">
        <v>991.1</v>
      </c>
      <c r="C13" s="12">
        <f t="shared" si="0"/>
        <v>92.075436640654033</v>
      </c>
      <c r="D13" s="11" t="s">
        <v>9</v>
      </c>
      <c r="E13" s="11" t="s">
        <v>15</v>
      </c>
      <c r="F13" s="11">
        <v>3500</v>
      </c>
      <c r="G13" s="13">
        <f t="shared" si="1"/>
        <v>3468850</v>
      </c>
      <c r="H13" s="11" t="s">
        <v>20</v>
      </c>
      <c r="I13" s="11"/>
      <c r="J13" s="11"/>
      <c r="K13" s="11"/>
      <c r="L13" s="21"/>
      <c r="M13" s="14">
        <f>Table1[[#This Row],[Total Cost]]-Table1[[#This Row],[Total Received]]</f>
        <v>3468850</v>
      </c>
    </row>
    <row r="14" spans="1:18" ht="15" customHeight="1" x14ac:dyDescent="0.4">
      <c r="A14" s="11">
        <v>13</v>
      </c>
      <c r="B14" s="11">
        <v>1232.1099999999999</v>
      </c>
      <c r="C14" s="12">
        <f t="shared" si="0"/>
        <v>114.46581196581197</v>
      </c>
      <c r="D14" s="11" t="s">
        <v>12</v>
      </c>
      <c r="E14" s="11" t="s">
        <v>15</v>
      </c>
      <c r="F14" s="11">
        <v>3500</v>
      </c>
      <c r="G14" s="13">
        <f t="shared" si="1"/>
        <v>4312385</v>
      </c>
      <c r="H14" s="11" t="s">
        <v>20</v>
      </c>
      <c r="I14" s="11"/>
      <c r="J14" s="11"/>
      <c r="K14" s="11"/>
      <c r="L14" s="21"/>
      <c r="M14" s="14">
        <f>Table1[[#This Row],[Total Cost]]-Table1[[#This Row],[Total Received]]</f>
        <v>4312385</v>
      </c>
    </row>
    <row r="15" spans="1:18" ht="15" customHeight="1" x14ac:dyDescent="0.4">
      <c r="A15" s="11">
        <v>14</v>
      </c>
      <c r="B15" s="11">
        <v>905.05</v>
      </c>
      <c r="C15" s="12">
        <f t="shared" ref="C15:C41" si="2">B15/10.764</f>
        <v>84.081196581196579</v>
      </c>
      <c r="D15" s="11" t="s">
        <v>7</v>
      </c>
      <c r="E15" s="11" t="s">
        <v>15</v>
      </c>
      <c r="F15" s="11">
        <v>3500</v>
      </c>
      <c r="G15" s="13">
        <f t="shared" ref="G15:G41" si="3">B15*F15</f>
        <v>3167675</v>
      </c>
      <c r="H15" s="11" t="s">
        <v>20</v>
      </c>
      <c r="I15" s="11"/>
      <c r="J15" s="11"/>
      <c r="K15" s="11"/>
      <c r="L15" s="21"/>
      <c r="M15" s="14">
        <f>Table1[[#This Row],[Total Cost]]-Table1[[#This Row],[Total Received]]</f>
        <v>3167675</v>
      </c>
      <c r="R15" s="18"/>
    </row>
    <row r="16" spans="1:18" ht="15" customHeight="1" x14ac:dyDescent="0.4">
      <c r="A16" s="11">
        <v>15</v>
      </c>
      <c r="B16" s="11">
        <v>906.42</v>
      </c>
      <c r="C16" s="12">
        <f t="shared" si="2"/>
        <v>84.208472686733558</v>
      </c>
      <c r="D16" s="11" t="s">
        <v>7</v>
      </c>
      <c r="E16" s="11" t="s">
        <v>15</v>
      </c>
      <c r="F16" s="11">
        <v>3500</v>
      </c>
      <c r="G16" s="13">
        <f t="shared" si="3"/>
        <v>3172470</v>
      </c>
      <c r="H16" s="11" t="s">
        <v>20</v>
      </c>
      <c r="I16" s="11"/>
      <c r="J16" s="11"/>
      <c r="K16" s="11"/>
      <c r="L16" s="21"/>
      <c r="M16" s="14">
        <f>Table1[[#This Row],[Total Cost]]-Table1[[#This Row],[Total Received]]</f>
        <v>3172470</v>
      </c>
    </row>
    <row r="17" spans="1:13" ht="15" customHeight="1" x14ac:dyDescent="0.4">
      <c r="A17" s="11">
        <v>16</v>
      </c>
      <c r="B17" s="11">
        <v>907.7</v>
      </c>
      <c r="C17" s="12">
        <f t="shared" si="2"/>
        <v>84.327387588257167</v>
      </c>
      <c r="D17" s="11" t="s">
        <v>7</v>
      </c>
      <c r="E17" s="11" t="s">
        <v>15</v>
      </c>
      <c r="F17" s="11">
        <v>3500</v>
      </c>
      <c r="G17" s="13">
        <f t="shared" si="3"/>
        <v>3176950</v>
      </c>
      <c r="H17" s="11" t="s">
        <v>20</v>
      </c>
      <c r="I17" s="11"/>
      <c r="J17" s="11"/>
      <c r="K17" s="11"/>
      <c r="L17" s="21"/>
      <c r="M17" s="14">
        <f>Table1[[#This Row],[Total Cost]]-Table1[[#This Row],[Total Received]]</f>
        <v>3176950</v>
      </c>
    </row>
    <row r="18" spans="1:13" ht="15" customHeight="1" x14ac:dyDescent="0.4">
      <c r="A18" s="11">
        <v>17</v>
      </c>
      <c r="B18" s="11">
        <v>905.48</v>
      </c>
      <c r="C18" s="12">
        <f t="shared" si="2"/>
        <v>84.121144555927174</v>
      </c>
      <c r="D18" s="11" t="s">
        <v>7</v>
      </c>
      <c r="E18" s="11" t="s">
        <v>15</v>
      </c>
      <c r="F18" s="11">
        <v>3500</v>
      </c>
      <c r="G18" s="13">
        <f t="shared" si="3"/>
        <v>3169180</v>
      </c>
      <c r="H18" s="11" t="s">
        <v>20</v>
      </c>
      <c r="I18" s="11"/>
      <c r="J18" s="11"/>
      <c r="K18" s="11"/>
      <c r="L18" s="21"/>
      <c r="M18" s="14">
        <f>Table1[[#This Row],[Total Cost]]-Table1[[#This Row],[Total Received]]</f>
        <v>3169180</v>
      </c>
    </row>
    <row r="19" spans="1:13" ht="15" customHeight="1" x14ac:dyDescent="0.4">
      <c r="A19" s="11">
        <v>18</v>
      </c>
      <c r="B19" s="11">
        <v>902.75</v>
      </c>
      <c r="C19" s="12">
        <f t="shared" si="2"/>
        <v>83.867521367521377</v>
      </c>
      <c r="D19" s="11" t="s">
        <v>7</v>
      </c>
      <c r="E19" s="11" t="s">
        <v>15</v>
      </c>
      <c r="F19" s="11">
        <v>3500</v>
      </c>
      <c r="G19" s="13">
        <f t="shared" si="3"/>
        <v>3159625</v>
      </c>
      <c r="H19" s="11" t="s">
        <v>20</v>
      </c>
      <c r="I19" s="11"/>
      <c r="J19" s="11"/>
      <c r="K19" s="11"/>
      <c r="L19" s="21"/>
      <c r="M19" s="14">
        <f>Table1[[#This Row],[Total Cost]]-Table1[[#This Row],[Total Received]]</f>
        <v>3159625</v>
      </c>
    </row>
    <row r="20" spans="1:13" ht="15" customHeight="1" x14ac:dyDescent="0.4">
      <c r="A20" s="11">
        <v>19</v>
      </c>
      <c r="B20" s="11">
        <v>991.02</v>
      </c>
      <c r="C20" s="12">
        <f t="shared" si="2"/>
        <v>92.06800445930881</v>
      </c>
      <c r="D20" s="11" t="s">
        <v>7</v>
      </c>
      <c r="E20" s="11" t="s">
        <v>15</v>
      </c>
      <c r="F20" s="11">
        <v>3500</v>
      </c>
      <c r="G20" s="13">
        <f t="shared" si="3"/>
        <v>3468570</v>
      </c>
      <c r="H20" s="11" t="s">
        <v>20</v>
      </c>
      <c r="I20" s="11"/>
      <c r="J20" s="11"/>
      <c r="K20" s="11"/>
      <c r="L20" s="21"/>
      <c r="M20" s="14">
        <f>Table1[[#This Row],[Total Cost]]-Table1[[#This Row],[Total Received]]</f>
        <v>3468570</v>
      </c>
    </row>
    <row r="21" spans="1:13" ht="15" customHeight="1" x14ac:dyDescent="0.4">
      <c r="A21" s="11">
        <v>20</v>
      </c>
      <c r="B21" s="11">
        <v>1112.3699999999999</v>
      </c>
      <c r="C21" s="12">
        <f t="shared" si="2"/>
        <v>103.34169453734671</v>
      </c>
      <c r="D21" s="11" t="s">
        <v>8</v>
      </c>
      <c r="E21" s="11" t="s">
        <v>17</v>
      </c>
      <c r="F21" s="11">
        <v>3500</v>
      </c>
      <c r="G21" s="13">
        <f t="shared" si="3"/>
        <v>3893294.9999999995</v>
      </c>
      <c r="H21" s="11" t="s">
        <v>20</v>
      </c>
      <c r="I21" s="11"/>
      <c r="J21" s="11"/>
      <c r="K21" s="11"/>
      <c r="L21" s="21"/>
      <c r="M21" s="14">
        <f>Table1[[#This Row],[Total Cost]]-Table1[[#This Row],[Total Received]]</f>
        <v>3893294.9999999995</v>
      </c>
    </row>
    <row r="22" spans="1:13" ht="15" customHeight="1" x14ac:dyDescent="0.4">
      <c r="A22" s="11">
        <v>21</v>
      </c>
      <c r="B22" s="11">
        <v>909.55</v>
      </c>
      <c r="C22" s="12">
        <f t="shared" si="2"/>
        <v>84.499256781865483</v>
      </c>
      <c r="D22" s="11" t="s">
        <v>8</v>
      </c>
      <c r="E22" s="11" t="s">
        <v>17</v>
      </c>
      <c r="F22" s="11">
        <v>3500</v>
      </c>
      <c r="G22" s="13">
        <f t="shared" si="3"/>
        <v>3183425</v>
      </c>
      <c r="H22" s="11" t="s">
        <v>20</v>
      </c>
      <c r="I22" s="11"/>
      <c r="J22" s="15"/>
      <c r="K22" s="16"/>
      <c r="L22" s="21"/>
      <c r="M22" s="14">
        <f>Table1[[#This Row],[Total Cost]]-Table1[[#This Row],[Total Received]]</f>
        <v>3183425</v>
      </c>
    </row>
    <row r="23" spans="1:13" ht="15" customHeight="1" x14ac:dyDescent="0.4">
      <c r="A23" s="11">
        <v>22</v>
      </c>
      <c r="B23" s="11">
        <v>909.55</v>
      </c>
      <c r="C23" s="12">
        <f t="shared" si="2"/>
        <v>84.499256781865483</v>
      </c>
      <c r="D23" s="11" t="s">
        <v>8</v>
      </c>
      <c r="E23" s="11" t="s">
        <v>17</v>
      </c>
      <c r="F23" s="11">
        <v>3500</v>
      </c>
      <c r="G23" s="13">
        <f t="shared" si="3"/>
        <v>3183425</v>
      </c>
      <c r="H23" s="11" t="s">
        <v>20</v>
      </c>
      <c r="I23" s="11"/>
      <c r="J23" s="11"/>
      <c r="K23" s="11"/>
      <c r="L23" s="21"/>
      <c r="M23" s="14">
        <f>Table1[[#This Row],[Total Cost]]-Table1[[#This Row],[Total Received]]</f>
        <v>3183425</v>
      </c>
    </row>
    <row r="24" spans="1:13" ht="15" customHeight="1" x14ac:dyDescent="0.4">
      <c r="A24" s="11">
        <v>23</v>
      </c>
      <c r="B24" s="11">
        <v>909.55</v>
      </c>
      <c r="C24" s="12">
        <f t="shared" si="2"/>
        <v>84.499256781865483</v>
      </c>
      <c r="D24" s="11" t="s">
        <v>8</v>
      </c>
      <c r="E24" s="11" t="s">
        <v>17</v>
      </c>
      <c r="F24" s="11">
        <v>3500</v>
      </c>
      <c r="G24" s="13">
        <f t="shared" si="3"/>
        <v>3183425</v>
      </c>
      <c r="H24" s="11" t="s">
        <v>20</v>
      </c>
      <c r="I24" s="11"/>
      <c r="J24" s="11"/>
      <c r="K24" s="11"/>
      <c r="L24" s="21"/>
      <c r="M24" s="14">
        <f>Table1[[#This Row],[Total Cost]]-Table1[[#This Row],[Total Received]]</f>
        <v>3183425</v>
      </c>
    </row>
    <row r="25" spans="1:13" ht="15" customHeight="1" x14ac:dyDescent="0.4">
      <c r="A25" s="11">
        <v>24</v>
      </c>
      <c r="B25" s="11">
        <v>909.55</v>
      </c>
      <c r="C25" s="12">
        <f t="shared" si="2"/>
        <v>84.499256781865483</v>
      </c>
      <c r="D25" s="11" t="s">
        <v>8</v>
      </c>
      <c r="E25" s="11" t="s">
        <v>17</v>
      </c>
      <c r="F25" s="11">
        <v>3500</v>
      </c>
      <c r="G25" s="13">
        <f t="shared" si="3"/>
        <v>3183425</v>
      </c>
      <c r="H25" s="11" t="s">
        <v>20</v>
      </c>
      <c r="I25" s="11"/>
      <c r="J25" s="11"/>
      <c r="K25" s="11"/>
      <c r="L25" s="21"/>
      <c r="M25" s="14">
        <f>Table1[[#This Row],[Total Cost]]-Table1[[#This Row],[Total Received]]</f>
        <v>3183425</v>
      </c>
    </row>
    <row r="26" spans="1:13" ht="15" customHeight="1" x14ac:dyDescent="0.4">
      <c r="A26" s="11">
        <v>25</v>
      </c>
      <c r="B26" s="11">
        <v>1374.19</v>
      </c>
      <c r="C26" s="12">
        <f t="shared" si="2"/>
        <v>127.66536603493127</v>
      </c>
      <c r="D26" s="11" t="s">
        <v>13</v>
      </c>
      <c r="E26" s="11" t="s">
        <v>17</v>
      </c>
      <c r="F26" s="11">
        <v>3500</v>
      </c>
      <c r="G26" s="13">
        <f t="shared" si="3"/>
        <v>4809665</v>
      </c>
      <c r="H26" s="11" t="s">
        <v>20</v>
      </c>
      <c r="I26" s="11"/>
      <c r="J26" s="11"/>
      <c r="K26" s="11"/>
      <c r="L26" s="21"/>
      <c r="M26" s="14">
        <f>Table1[[#This Row],[Total Cost]]-Table1[[#This Row],[Total Received]]</f>
        <v>4809665</v>
      </c>
    </row>
    <row r="27" spans="1:13" ht="15" customHeight="1" x14ac:dyDescent="0.4">
      <c r="A27" s="11">
        <v>26</v>
      </c>
      <c r="B27" s="11">
        <v>1219.79</v>
      </c>
      <c r="C27" s="12">
        <f t="shared" si="2"/>
        <v>113.32125603864735</v>
      </c>
      <c r="D27" s="11" t="s">
        <v>14</v>
      </c>
      <c r="E27" s="11" t="s">
        <v>17</v>
      </c>
      <c r="F27" s="11">
        <v>3500</v>
      </c>
      <c r="G27" s="13">
        <f t="shared" si="3"/>
        <v>4269265</v>
      </c>
      <c r="H27" s="11" t="s">
        <v>20</v>
      </c>
      <c r="I27" s="11"/>
      <c r="J27" s="11"/>
      <c r="K27" s="11"/>
      <c r="L27" s="21"/>
      <c r="M27" s="14">
        <f>Table1[[#This Row],[Total Cost]]-Table1[[#This Row],[Total Received]]</f>
        <v>4269265</v>
      </c>
    </row>
    <row r="28" spans="1:13" ht="15" customHeight="1" x14ac:dyDescent="0.4">
      <c r="A28" s="11">
        <v>27</v>
      </c>
      <c r="B28" s="11">
        <v>909.55</v>
      </c>
      <c r="C28" s="12">
        <f t="shared" si="2"/>
        <v>84.499256781865483</v>
      </c>
      <c r="D28" s="11" t="s">
        <v>7</v>
      </c>
      <c r="E28" s="11" t="s">
        <v>17</v>
      </c>
      <c r="F28" s="11">
        <v>3500</v>
      </c>
      <c r="G28" s="13">
        <f t="shared" si="3"/>
        <v>3183425</v>
      </c>
      <c r="H28" s="11" t="s">
        <v>20</v>
      </c>
      <c r="I28" s="11"/>
      <c r="J28" s="11"/>
      <c r="K28" s="11"/>
      <c r="L28" s="21"/>
      <c r="M28" s="14">
        <f>Table1[[#This Row],[Total Cost]]-Table1[[#This Row],[Total Received]]</f>
        <v>3183425</v>
      </c>
    </row>
    <row r="29" spans="1:13" ht="15" customHeight="1" x14ac:dyDescent="0.4">
      <c r="A29" s="11">
        <v>28</v>
      </c>
      <c r="B29" s="11">
        <v>909.55</v>
      </c>
      <c r="C29" s="12">
        <f t="shared" si="2"/>
        <v>84.499256781865483</v>
      </c>
      <c r="D29" s="11" t="s">
        <v>7</v>
      </c>
      <c r="E29" s="11" t="s">
        <v>17</v>
      </c>
      <c r="F29" s="11">
        <v>3500</v>
      </c>
      <c r="G29" s="13">
        <f t="shared" si="3"/>
        <v>3183425</v>
      </c>
      <c r="H29" s="11" t="s">
        <v>20</v>
      </c>
      <c r="I29" s="11"/>
      <c r="J29" s="11"/>
      <c r="K29" s="11"/>
      <c r="L29" s="21"/>
      <c r="M29" s="14">
        <f>Table1[[#This Row],[Total Cost]]-Table1[[#This Row],[Total Received]]</f>
        <v>3183425</v>
      </c>
    </row>
    <row r="30" spans="1:13" ht="15" customHeight="1" x14ac:dyDescent="0.4">
      <c r="A30" s="11">
        <v>29</v>
      </c>
      <c r="B30" s="11">
        <v>909.55</v>
      </c>
      <c r="C30" s="12">
        <f t="shared" si="2"/>
        <v>84.499256781865483</v>
      </c>
      <c r="D30" s="11" t="s">
        <v>7</v>
      </c>
      <c r="E30" s="11" t="s">
        <v>17</v>
      </c>
      <c r="F30" s="11">
        <v>3500</v>
      </c>
      <c r="G30" s="13">
        <f t="shared" si="3"/>
        <v>3183425</v>
      </c>
      <c r="H30" s="11" t="s">
        <v>20</v>
      </c>
      <c r="I30" s="11"/>
      <c r="J30" s="11"/>
      <c r="K30" s="11"/>
      <c r="L30" s="21"/>
      <c r="M30" s="14">
        <f>Table1[[#This Row],[Total Cost]]-Table1[[#This Row],[Total Received]]</f>
        <v>3183425</v>
      </c>
    </row>
    <row r="31" spans="1:13" ht="15" customHeight="1" x14ac:dyDescent="0.4">
      <c r="A31" s="11">
        <v>30</v>
      </c>
      <c r="B31" s="11">
        <v>909.55</v>
      </c>
      <c r="C31" s="12">
        <f t="shared" si="2"/>
        <v>84.499256781865483</v>
      </c>
      <c r="D31" s="11" t="s">
        <v>7</v>
      </c>
      <c r="E31" s="11" t="s">
        <v>17</v>
      </c>
      <c r="F31" s="11">
        <v>3500</v>
      </c>
      <c r="G31" s="13">
        <f t="shared" si="3"/>
        <v>3183425</v>
      </c>
      <c r="H31" s="11" t="s">
        <v>20</v>
      </c>
      <c r="I31" s="11"/>
      <c r="J31" s="11"/>
      <c r="K31" s="11"/>
      <c r="L31" s="21"/>
      <c r="M31" s="14">
        <f>Table1[[#This Row],[Total Cost]]-Table1[[#This Row],[Total Received]]</f>
        <v>3183425</v>
      </c>
    </row>
    <row r="32" spans="1:13" ht="15" customHeight="1" x14ac:dyDescent="0.4">
      <c r="A32" s="11">
        <v>31</v>
      </c>
      <c r="B32" s="11">
        <v>940.17</v>
      </c>
      <c r="C32" s="12">
        <f t="shared" si="2"/>
        <v>87.343924191750276</v>
      </c>
      <c r="D32" s="11" t="s">
        <v>7</v>
      </c>
      <c r="E32" s="11" t="s">
        <v>17</v>
      </c>
      <c r="F32" s="11">
        <v>3500</v>
      </c>
      <c r="G32" s="13">
        <f t="shared" si="3"/>
        <v>3290595</v>
      </c>
      <c r="H32" s="11" t="s">
        <v>20</v>
      </c>
      <c r="I32" s="11"/>
      <c r="J32" s="11"/>
      <c r="K32" s="11"/>
      <c r="L32" s="21"/>
      <c r="M32" s="14">
        <f>Table1[[#This Row],[Total Cost]]-Table1[[#This Row],[Total Received]]</f>
        <v>3290595</v>
      </c>
    </row>
    <row r="33" spans="1:13" ht="15" customHeight="1" x14ac:dyDescent="0.4">
      <c r="A33" s="11">
        <v>32</v>
      </c>
      <c r="B33" s="11">
        <v>1116.5999999999999</v>
      </c>
      <c r="C33" s="12">
        <f t="shared" si="2"/>
        <v>103.73467112597547</v>
      </c>
      <c r="D33" s="11" t="s">
        <v>8</v>
      </c>
      <c r="E33" s="11" t="s">
        <v>17</v>
      </c>
      <c r="F33" s="11">
        <v>3500</v>
      </c>
      <c r="G33" s="13">
        <f t="shared" si="3"/>
        <v>3908099.9999999995</v>
      </c>
      <c r="H33" s="11" t="s">
        <v>20</v>
      </c>
      <c r="I33" s="11"/>
      <c r="J33" s="11"/>
      <c r="K33" s="11"/>
      <c r="L33" s="21"/>
      <c r="M33" s="14">
        <f>Table1[[#This Row],[Total Cost]]-Table1[[#This Row],[Total Received]]</f>
        <v>3908099.9999999995</v>
      </c>
    </row>
    <row r="34" spans="1:13" ht="15" customHeight="1" x14ac:dyDescent="0.4">
      <c r="A34" s="11">
        <v>33</v>
      </c>
      <c r="B34" s="11">
        <v>1097.92</v>
      </c>
      <c r="C34" s="12">
        <f t="shared" si="2"/>
        <v>101.99925678186548</v>
      </c>
      <c r="D34" s="11" t="s">
        <v>8</v>
      </c>
      <c r="E34" s="11" t="s">
        <v>17</v>
      </c>
      <c r="F34" s="11">
        <v>3500</v>
      </c>
      <c r="G34" s="13">
        <f t="shared" si="3"/>
        <v>3842720.0000000005</v>
      </c>
      <c r="H34" s="11" t="s">
        <v>20</v>
      </c>
      <c r="I34" s="11"/>
      <c r="J34" s="11"/>
      <c r="K34" s="11"/>
      <c r="L34" s="21"/>
      <c r="M34" s="14">
        <f>Table1[[#This Row],[Total Cost]]-Table1[[#This Row],[Total Received]]</f>
        <v>3842720.0000000005</v>
      </c>
    </row>
    <row r="35" spans="1:13" ht="15" customHeight="1" x14ac:dyDescent="0.4">
      <c r="A35" s="11">
        <v>34</v>
      </c>
      <c r="B35" s="11">
        <v>1097.92</v>
      </c>
      <c r="C35" s="12">
        <f t="shared" si="2"/>
        <v>101.99925678186548</v>
      </c>
      <c r="D35" s="11" t="s">
        <v>8</v>
      </c>
      <c r="E35" s="11" t="s">
        <v>17</v>
      </c>
      <c r="F35" s="11">
        <v>3500</v>
      </c>
      <c r="G35" s="13">
        <f t="shared" si="3"/>
        <v>3842720.0000000005</v>
      </c>
      <c r="H35" s="11" t="s">
        <v>20</v>
      </c>
      <c r="I35" s="11"/>
      <c r="J35" s="11"/>
      <c r="K35" s="11"/>
      <c r="L35" s="21"/>
      <c r="M35" s="14">
        <f>Table1[[#This Row],[Total Cost]]-Table1[[#This Row],[Total Received]]</f>
        <v>3842720.0000000005</v>
      </c>
    </row>
    <row r="36" spans="1:13" ht="15" customHeight="1" x14ac:dyDescent="0.4">
      <c r="A36" s="11">
        <v>35</v>
      </c>
      <c r="B36" s="11">
        <v>1097.92</v>
      </c>
      <c r="C36" s="12">
        <f t="shared" si="2"/>
        <v>101.99925678186548</v>
      </c>
      <c r="D36" s="11" t="s">
        <v>8</v>
      </c>
      <c r="E36" s="11" t="s">
        <v>17</v>
      </c>
      <c r="F36" s="11">
        <v>3500</v>
      </c>
      <c r="G36" s="13">
        <f t="shared" si="3"/>
        <v>3842720.0000000005</v>
      </c>
      <c r="H36" s="11" t="s">
        <v>20</v>
      </c>
      <c r="I36" s="11"/>
      <c r="J36" s="11"/>
      <c r="K36" s="11"/>
      <c r="L36" s="21"/>
      <c r="M36" s="14">
        <f>Table1[[#This Row],[Total Cost]]-Table1[[#This Row],[Total Received]]</f>
        <v>3842720.0000000005</v>
      </c>
    </row>
    <row r="37" spans="1:13" ht="15" customHeight="1" x14ac:dyDescent="0.4">
      <c r="A37" s="11">
        <v>36</v>
      </c>
      <c r="B37" s="11">
        <v>1570.53</v>
      </c>
      <c r="C37" s="12">
        <f t="shared" si="2"/>
        <v>145.90579710144928</v>
      </c>
      <c r="D37" s="11" t="s">
        <v>13</v>
      </c>
      <c r="E37" s="11" t="s">
        <v>17</v>
      </c>
      <c r="F37" s="11">
        <v>3500</v>
      </c>
      <c r="G37" s="13">
        <f t="shared" si="3"/>
        <v>5496855</v>
      </c>
      <c r="H37" s="11" t="s">
        <v>20</v>
      </c>
      <c r="I37" s="11"/>
      <c r="J37" s="11"/>
      <c r="K37" s="11"/>
      <c r="L37" s="21"/>
      <c r="M37" s="14">
        <f>Table1[[#This Row],[Total Cost]]-Table1[[#This Row],[Total Received]]</f>
        <v>5496855</v>
      </c>
    </row>
    <row r="38" spans="1:13" ht="15" customHeight="1" x14ac:dyDescent="0.4">
      <c r="A38" s="11">
        <v>37</v>
      </c>
      <c r="B38" s="11">
        <v>1474.64</v>
      </c>
      <c r="C38" s="12">
        <f t="shared" si="2"/>
        <v>136.99739873652919</v>
      </c>
      <c r="D38" s="11" t="s">
        <v>14</v>
      </c>
      <c r="E38" s="11" t="s">
        <v>17</v>
      </c>
      <c r="F38" s="11">
        <v>3500</v>
      </c>
      <c r="G38" s="13">
        <f t="shared" si="3"/>
        <v>5161240</v>
      </c>
      <c r="H38" s="11" t="s">
        <v>20</v>
      </c>
      <c r="I38" s="11"/>
      <c r="J38" s="11"/>
      <c r="K38" s="11"/>
      <c r="L38" s="21"/>
      <c r="M38" s="14">
        <f>Table1[[#This Row],[Total Cost]]-Table1[[#This Row],[Total Received]]</f>
        <v>5161240</v>
      </c>
    </row>
    <row r="39" spans="1:13" ht="15" customHeight="1" x14ac:dyDescent="0.4">
      <c r="A39" s="11">
        <v>38</v>
      </c>
      <c r="B39" s="11">
        <v>1400.62</v>
      </c>
      <c r="C39" s="12">
        <f t="shared" si="2"/>
        <v>130.12077294685989</v>
      </c>
      <c r="D39" s="11" t="s">
        <v>7</v>
      </c>
      <c r="E39" s="11" t="s">
        <v>17</v>
      </c>
      <c r="F39" s="11">
        <v>3500</v>
      </c>
      <c r="G39" s="13">
        <f t="shared" si="3"/>
        <v>4902170</v>
      </c>
      <c r="H39" s="11" t="s">
        <v>20</v>
      </c>
      <c r="I39" s="11"/>
      <c r="J39" s="11"/>
      <c r="K39" s="11"/>
      <c r="L39" s="21"/>
      <c r="M39" s="14">
        <f>Table1[[#This Row],[Total Cost]]-Table1[[#This Row],[Total Received]]</f>
        <v>4902170</v>
      </c>
    </row>
    <row r="40" spans="1:13" ht="15" customHeight="1" x14ac:dyDescent="0.4">
      <c r="A40" s="11">
        <v>39</v>
      </c>
      <c r="B40" s="11">
        <v>1400.62</v>
      </c>
      <c r="C40" s="12">
        <f t="shared" si="2"/>
        <v>130.12077294685989</v>
      </c>
      <c r="D40" s="11" t="s">
        <v>7</v>
      </c>
      <c r="E40" s="11" t="s">
        <v>17</v>
      </c>
      <c r="F40" s="11">
        <v>3500</v>
      </c>
      <c r="G40" s="13">
        <f t="shared" si="3"/>
        <v>4902170</v>
      </c>
      <c r="H40" s="11" t="s">
        <v>20</v>
      </c>
      <c r="I40" s="11"/>
      <c r="J40" s="11"/>
      <c r="K40" s="11"/>
      <c r="L40" s="21"/>
      <c r="M40" s="14">
        <f>Table1[[#This Row],[Total Cost]]-Table1[[#This Row],[Total Received]]</f>
        <v>4902170</v>
      </c>
    </row>
    <row r="41" spans="1:13" ht="15" customHeight="1" x14ac:dyDescent="0.4">
      <c r="A41" s="11">
        <v>40</v>
      </c>
      <c r="B41" s="11">
        <v>1552.72</v>
      </c>
      <c r="C41" s="12">
        <f t="shared" si="2"/>
        <v>144.2512077294686</v>
      </c>
      <c r="D41" s="11" t="s">
        <v>7</v>
      </c>
      <c r="E41" s="11" t="s">
        <v>15</v>
      </c>
      <c r="F41" s="11">
        <v>3500</v>
      </c>
      <c r="G41" s="13">
        <f t="shared" si="3"/>
        <v>5434520</v>
      </c>
      <c r="H41" s="11" t="s">
        <v>20</v>
      </c>
      <c r="I41" s="11"/>
      <c r="J41" s="11"/>
      <c r="K41" s="11"/>
      <c r="L41" s="21"/>
      <c r="M41" s="14">
        <f>Table1[[#This Row],[Total Cost]]-Table1[[#This Row],[Total Received]]</f>
        <v>5434520</v>
      </c>
    </row>
    <row r="42" spans="1:13" ht="15" customHeight="1" x14ac:dyDescent="0.4">
      <c r="A42" s="11"/>
      <c r="B42" s="11"/>
      <c r="C42" s="12"/>
      <c r="D42" s="11"/>
      <c r="E42" s="11"/>
      <c r="F42" s="11"/>
      <c r="G42" s="14">
        <f>SUM(Table1[Total Cost])</f>
        <v>149397815</v>
      </c>
      <c r="H42" s="11"/>
      <c r="I42" s="11"/>
      <c r="J42" s="11"/>
      <c r="K42" s="11"/>
      <c r="L42" s="23"/>
      <c r="M42" s="1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25FF9-C4AE-4A1C-8BA8-D6B496F80B9D}">
  <dimension ref="A1:S11"/>
  <sheetViews>
    <sheetView tabSelected="1" zoomScale="70" zoomScaleNormal="70" workbookViewId="0">
      <selection activeCell="K14" sqref="K14"/>
    </sheetView>
  </sheetViews>
  <sheetFormatPr defaultRowHeight="14.4" x14ac:dyDescent="0.3"/>
  <cols>
    <col min="1" max="1" width="27.6640625" customWidth="1"/>
    <col min="2" max="3" width="12.21875" customWidth="1"/>
    <col min="4" max="4" width="12.44140625" customWidth="1"/>
    <col min="5" max="5" width="12.33203125" customWidth="1"/>
    <col min="6" max="6" width="11.6640625" customWidth="1"/>
    <col min="7" max="7" width="12" customWidth="1"/>
    <col min="8" max="8" width="11.88671875" customWidth="1"/>
    <col min="9" max="9" width="12.6640625" customWidth="1"/>
    <col min="10" max="10" width="12.21875" customWidth="1"/>
    <col min="11" max="11" width="13" customWidth="1"/>
    <col min="12" max="12" width="8.88671875" customWidth="1"/>
    <col min="17" max="17" width="11.21875" customWidth="1"/>
    <col min="18" max="18" width="13.5546875" customWidth="1"/>
  </cols>
  <sheetData>
    <row r="1" spans="1:19" x14ac:dyDescent="0.3">
      <c r="A1" s="4"/>
      <c r="B1" s="24" t="s">
        <v>37</v>
      </c>
      <c r="C1" s="25"/>
      <c r="D1" s="25"/>
      <c r="E1" s="25"/>
      <c r="F1" s="25"/>
      <c r="G1" s="25"/>
      <c r="H1" s="25"/>
      <c r="I1" s="25"/>
      <c r="J1" s="25"/>
      <c r="K1" s="25"/>
      <c r="L1" s="4"/>
    </row>
    <row r="2" spans="1:19" x14ac:dyDescent="0.3">
      <c r="A2" s="4"/>
      <c r="B2" s="25"/>
      <c r="C2" s="25"/>
      <c r="D2" s="25"/>
      <c r="E2" s="25"/>
      <c r="F2" s="25"/>
      <c r="G2" s="25"/>
      <c r="H2" s="25"/>
      <c r="I2" s="25"/>
      <c r="J2" s="25"/>
      <c r="K2" s="25"/>
      <c r="L2" s="3"/>
    </row>
    <row r="3" spans="1:19" x14ac:dyDescent="0.3">
      <c r="A3" s="4"/>
      <c r="B3" s="25"/>
      <c r="C3" s="25"/>
      <c r="D3" s="25"/>
      <c r="E3" s="25"/>
      <c r="F3" s="25"/>
      <c r="G3" s="25"/>
      <c r="H3" s="25"/>
      <c r="I3" s="25"/>
      <c r="J3" s="25"/>
      <c r="K3" s="25"/>
      <c r="L3" s="3"/>
    </row>
    <row r="4" spans="1:19" ht="25.8" customHeight="1" x14ac:dyDescent="0.45">
      <c r="A4" s="4"/>
      <c r="B4" s="25"/>
      <c r="C4" s="25"/>
      <c r="D4" s="25"/>
      <c r="E4" s="25"/>
      <c r="F4" s="25"/>
      <c r="G4" s="25"/>
      <c r="H4" s="25"/>
      <c r="I4" s="25"/>
      <c r="J4" s="25"/>
      <c r="K4" s="25"/>
      <c r="L4" s="3"/>
      <c r="R4" s="2"/>
      <c r="S4" s="2"/>
    </row>
    <row r="5" spans="1:19" ht="14.4" customHeight="1" x14ac:dyDescent="0.3">
      <c r="B5" s="7"/>
      <c r="C5" s="7"/>
      <c r="D5" s="6" t="s">
        <v>26</v>
      </c>
      <c r="E5" s="7"/>
      <c r="F5" s="6" t="s">
        <v>20</v>
      </c>
      <c r="G5" s="7"/>
      <c r="H5" s="6" t="s">
        <v>19</v>
      </c>
      <c r="I5" s="7"/>
      <c r="J5" s="7"/>
      <c r="K5" s="7"/>
    </row>
    <row r="6" spans="1:19" ht="23.4" customHeight="1" x14ac:dyDescent="0.3">
      <c r="B6" s="7"/>
      <c r="C6" s="7"/>
      <c r="D6" s="5">
        <v>40</v>
      </c>
      <c r="E6" s="7"/>
      <c r="F6" s="5">
        <f>COUNTIF(Inventory!H:H, "Available")</f>
        <v>38</v>
      </c>
      <c r="G6" s="7"/>
      <c r="H6" s="5">
        <f>COUNTIF(Inventory!H:H, "Sold")</f>
        <v>2</v>
      </c>
      <c r="I6" s="7"/>
      <c r="J6" s="7"/>
      <c r="K6" s="7"/>
    </row>
    <row r="7" spans="1:19" ht="23.4" customHeight="1" x14ac:dyDescent="0.3">
      <c r="B7" s="8" t="s">
        <v>27</v>
      </c>
      <c r="C7" s="8" t="s">
        <v>28</v>
      </c>
      <c r="D7" s="8" t="s">
        <v>29</v>
      </c>
      <c r="E7" s="8" t="s">
        <v>30</v>
      </c>
      <c r="F7" s="8" t="s">
        <v>31</v>
      </c>
      <c r="G7" s="8" t="s">
        <v>32</v>
      </c>
      <c r="H7" s="8" t="s">
        <v>33</v>
      </c>
      <c r="I7" s="8" t="s">
        <v>34</v>
      </c>
      <c r="J7" s="8" t="s">
        <v>35</v>
      </c>
      <c r="K7" s="8" t="s">
        <v>36</v>
      </c>
    </row>
    <row r="8" spans="1:19" ht="49.95" customHeight="1" x14ac:dyDescent="0.3">
      <c r="B8" s="10">
        <v>40</v>
      </c>
      <c r="C8" s="10">
        <v>39</v>
      </c>
      <c r="D8" s="10">
        <v>38</v>
      </c>
      <c r="E8" s="10">
        <v>37</v>
      </c>
      <c r="F8" s="10">
        <v>36</v>
      </c>
      <c r="G8" s="10">
        <v>35</v>
      </c>
      <c r="H8" s="10">
        <v>34</v>
      </c>
      <c r="I8" s="10">
        <v>33</v>
      </c>
      <c r="J8" s="10">
        <v>32</v>
      </c>
      <c r="K8" s="10">
        <v>31</v>
      </c>
    </row>
    <row r="9" spans="1:19" ht="49.95" customHeight="1" x14ac:dyDescent="0.3">
      <c r="B9" s="10">
        <v>21</v>
      </c>
      <c r="C9" s="10">
        <v>22</v>
      </c>
      <c r="D9" s="10">
        <v>23</v>
      </c>
      <c r="E9" s="10">
        <v>24</v>
      </c>
      <c r="F9" s="10">
        <v>25</v>
      </c>
      <c r="G9" s="10">
        <v>26</v>
      </c>
      <c r="H9" s="10">
        <v>27</v>
      </c>
      <c r="I9" s="10">
        <v>28</v>
      </c>
      <c r="J9" s="10">
        <v>29</v>
      </c>
      <c r="K9" s="10">
        <v>30</v>
      </c>
      <c r="N9" s="9"/>
    </row>
    <row r="10" spans="1:19" ht="49.95" customHeight="1" x14ac:dyDescent="0.3">
      <c r="B10" s="10">
        <v>20</v>
      </c>
      <c r="C10" s="10">
        <v>19</v>
      </c>
      <c r="D10" s="10">
        <v>18</v>
      </c>
      <c r="E10" s="10">
        <v>17</v>
      </c>
      <c r="F10" s="10">
        <v>16</v>
      </c>
      <c r="G10" s="10">
        <v>15</v>
      </c>
      <c r="H10" s="10">
        <v>14</v>
      </c>
      <c r="I10" s="10">
        <v>13</v>
      </c>
      <c r="J10" s="10">
        <v>12</v>
      </c>
      <c r="K10" s="10">
        <v>11</v>
      </c>
    </row>
    <row r="11" spans="1:19" ht="50.4" customHeight="1" x14ac:dyDescent="0.3">
      <c r="B11" s="10">
        <v>1</v>
      </c>
      <c r="C11" s="10">
        <v>2</v>
      </c>
      <c r="D11" s="10">
        <v>3</v>
      </c>
      <c r="E11" s="10">
        <v>4</v>
      </c>
      <c r="F11" s="10">
        <v>5</v>
      </c>
      <c r="G11" s="10">
        <v>6</v>
      </c>
      <c r="H11" s="10">
        <v>7</v>
      </c>
      <c r="I11" s="10">
        <v>8</v>
      </c>
      <c r="J11" s="10">
        <v>9</v>
      </c>
      <c r="K11" s="10">
        <v>10</v>
      </c>
    </row>
  </sheetData>
  <mergeCells count="1">
    <mergeCell ref="B1:K4"/>
  </mergeCells>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1" id="{D80373F3-DC96-4BC9-A7DD-794FC9947A2A}">
            <xm:f>VLOOKUP(#REF!, Inventory!$A:$H, 8, 0)="Availble"</xm:f>
            <x14:dxf>
              <fill>
                <patternFill>
                  <bgColor rgb="FF00B050"/>
                </patternFill>
              </fill>
            </x14:dxf>
          </x14:cfRule>
          <x14:cfRule type="expression" priority="2" id="{5032E323-AA96-4665-A9E4-7AD083F53D29}">
            <xm:f>VLOOKUP(#REF!, Inventory!$A:$H, 8, 0)="Sold"</xm:f>
            <x14:dxf>
              <fill>
                <patternFill>
                  <bgColor rgb="FFFF0000"/>
                </patternFill>
              </fill>
            </x14:dxf>
          </x14:cfRule>
          <xm:sqref>B7:B8 E7:E8 G7:G8 I7:I8 B9:D9 F9:F10 H9:H10 B10:E10 G10</xm:sqref>
        </x14:conditionalFormatting>
        <x14:conditionalFormatting xmlns:xm="http://schemas.microsoft.com/office/excel/2006/main">
          <x14:cfRule type="expression" priority="3" id="{F42EE01C-0D37-4766-890A-98C86F48ECFC}">
            <xm:f>AND(VLOOKUP(B10, Inventory!$A$2:$I$41, 8, 0)="Available", VLOOKUP(B10, Inventory!$A$2:$I$41, 11, 0)=1)</xm:f>
            <x14:dxf>
              <fill>
                <patternFill>
                  <bgColor rgb="FF00B050"/>
                </patternFill>
              </fill>
            </x14:dxf>
          </x14:cfRule>
          <x14:cfRule type="expression" priority="4" id="{7A8D915D-F639-47B9-AE15-D08956412273}">
            <xm:f>AND(VLOOKUP(B10, Inventory!$A$2:$I$41, 8, 0)="Sold", VLOOKUP(B10, Inventory!$A$2:$I$41, 11, 0)=1)</xm:f>
            <x14:dxf>
              <fill>
                <patternFill>
                  <bgColor rgb="FFFF0000"/>
                </patternFill>
              </fill>
            </x14:dxf>
          </x14:cfRule>
          <x14:cfRule type="expression" priority="5" id="{A14D170C-9B22-4A6E-86F9-159CC0DA66D1}">
            <xm:f>VLOOKUP(B7, Inventory!$A$2:$H$41, 8, 0)="Available"</xm:f>
            <x14:dxf>
              <fill>
                <patternFill>
                  <bgColor rgb="FF00B050"/>
                </patternFill>
              </fill>
            </x14:dxf>
          </x14:cfRule>
          <x14:cfRule type="expression" priority="6" id="{613971CE-C9D1-4B43-AB92-B2F879D36189}">
            <xm:f>VLOOKUP(B7, Inventory!$A$2:$H$41, 8, 0)="Sold"</xm:f>
            <x14:dxf>
              <fill>
                <patternFill>
                  <bgColor rgb="FFFF0000"/>
                </patternFill>
              </fill>
            </x14:dxf>
          </x14:cfRule>
          <xm:sqref>B7:K8</xm:sqref>
        </x14:conditionalFormatting>
        <x14:conditionalFormatting xmlns:xm="http://schemas.microsoft.com/office/excel/2006/main">
          <x14:cfRule type="expression" priority="39" id="{75BA0547-EE07-44FF-B52D-45201D12BD7D}">
            <xm:f>AND(VLOOKUP(#REF!, Inventory!$A$2:$I$41, 8, 0)="Available", VLOOKUP(#REF!, Inventory!$A$2:$I$41, 11, 0)=1)</xm:f>
            <x14:dxf>
              <fill>
                <patternFill>
                  <bgColor rgb="FF00B050"/>
                </patternFill>
              </fill>
            </x14:dxf>
          </x14:cfRule>
          <x14:cfRule type="expression" priority="40" id="{4D7BB561-BC95-4739-8213-5E02B1A45862}">
            <xm:f>AND(VLOOKUP(#REF!, Inventory!$A$2:$I$41, 8, 0)="Sold", VLOOKUP(#REF!, Inventory!$A$2:$I$41, 11, 0)=1)</xm:f>
            <x14:dxf>
              <fill>
                <patternFill>
                  <bgColor rgb="FFFF0000"/>
                </patternFill>
              </fill>
            </x14:dxf>
          </x14:cfRule>
          <x14:cfRule type="expression" priority="41" id="{D8762176-6012-437C-A31A-534CEF69F364}">
            <xm:f>VLOOKUP(B9, Inventory!$A$2:$H$41, 8, 0)="Available"</xm:f>
            <x14:dxf>
              <fill>
                <patternFill>
                  <bgColor rgb="FF00B050"/>
                </patternFill>
              </fill>
            </x14:dxf>
          </x14:cfRule>
          <x14:cfRule type="expression" priority="42" id="{1BD72E08-03C8-4796-96BF-B07BCB4C775F}">
            <xm:f>VLOOKUP(B9, Inventory!$A$2:$H$41, 8, 0)="Sold"</xm:f>
            <x14:dxf>
              <fill>
                <patternFill>
                  <bgColor rgb="FFFF0000"/>
                </patternFill>
              </fill>
            </x14:dxf>
          </x14:cfRule>
          <xm:sqref>B9:K9</xm:sqref>
        </x14:conditionalFormatting>
        <x14:conditionalFormatting xmlns:xm="http://schemas.microsoft.com/office/excel/2006/main">
          <x14:cfRule type="expression" priority="35" id="{75BA0547-EE07-44FF-B52D-45201D12BD7D}">
            <xm:f>AND(VLOOKUP(B12, Inventory!$A$2:$I$41, 8, 0)="Available", VLOOKUP(B12, Inventory!$A$2:$I$41, 11, 0)=1)</xm:f>
            <x14:dxf>
              <fill>
                <patternFill>
                  <bgColor rgb="FF00B050"/>
                </patternFill>
              </fill>
            </x14:dxf>
          </x14:cfRule>
          <x14:cfRule type="expression" priority="36" id="{4D7BB561-BC95-4739-8213-5E02B1A45862}">
            <xm:f>AND(VLOOKUP(B12, Inventory!$A$2:$I$41, 8, 0)="Sold", VLOOKUP(B12, Inventory!$A$2:$I$41, 11, 0)=1)</xm:f>
            <x14:dxf>
              <fill>
                <patternFill>
                  <bgColor rgb="FFFF0000"/>
                </patternFill>
              </fill>
            </x14:dxf>
          </x14:cfRule>
          <x14:cfRule type="expression" priority="37" id="{D8762176-6012-437C-A31A-534CEF69F364}">
            <xm:f>VLOOKUP(B10, Inventory!$A$2:$H$41, 8, 0)="Available"</xm:f>
            <x14:dxf>
              <fill>
                <patternFill>
                  <bgColor rgb="FF00B050"/>
                </patternFill>
              </fill>
            </x14:dxf>
          </x14:cfRule>
          <x14:cfRule type="expression" priority="38" id="{1BD72E08-03C8-4796-96BF-B07BCB4C775F}">
            <xm:f>VLOOKUP(B10, Inventory!$A$2:$H$41, 8, 0)="Sold"</xm:f>
            <x14:dxf>
              <fill>
                <patternFill>
                  <bgColor rgb="FFFF0000"/>
                </patternFill>
              </fill>
            </x14:dxf>
          </x14:cfRule>
          <xm:sqref>B10:K11</xm:sqref>
        </x14:conditionalFormatting>
        <x14:conditionalFormatting xmlns:xm="http://schemas.microsoft.com/office/excel/2006/main">
          <x14:cfRule type="expression" priority="13" id="{5AE342F0-E9D7-4FCD-8485-CB5099E91132}">
            <xm:f>VLOOKUP(B8, Inventory!$A:$H, 8, 0)="Availble"</xm:f>
            <x14:dxf>
              <fill>
                <patternFill>
                  <bgColor rgb="FF00B050"/>
                </patternFill>
              </fill>
            </x14:dxf>
          </x14:cfRule>
          <x14:cfRule type="expression" priority="14" id="{2401779F-72D5-411D-8ADA-9AF712DC05EA}">
            <xm:f>VLOOKUP(B8, Inventory!$A:$H, 8, 0)="Sold"</xm:f>
            <x14:dxf>
              <fill>
                <patternFill>
                  <bgColor rgb="FFFF0000"/>
                </patternFill>
              </fill>
            </x14:dxf>
          </x14:cfRule>
          <xm:sqref>B11:K11</xm:sqref>
        </x14:conditionalFormatting>
        <x14:conditionalFormatting xmlns:xm="http://schemas.microsoft.com/office/excel/2006/main">
          <x14:cfRule type="expression" priority="7" id="{757968D9-06E8-4F9E-8D06-32C95A30076D}">
            <xm:f>VLOOKUP(C3, Inventory!$A:$H, 8, 0)="Availble"</xm:f>
            <x14:dxf>
              <fill>
                <patternFill>
                  <bgColor rgb="FF00B050"/>
                </patternFill>
              </fill>
            </x14:dxf>
          </x14:cfRule>
          <x14:cfRule type="expression" priority="8" id="{8E5D382D-F6DB-4C01-AE30-84B955E2F036}">
            <xm:f>VLOOKUP(C3, Inventory!$A:$H, 8, 0)="Sold"</xm:f>
            <x14:dxf>
              <fill>
                <patternFill>
                  <bgColor rgb="FFFF0000"/>
                </patternFill>
              </fill>
            </x14:dxf>
          </x14:cfRule>
          <xm:sqref>C7:D8 F7:F8 H7:H8 J7:K8 I9:K10</xm:sqref>
        </x14:conditionalFormatting>
        <x14:conditionalFormatting xmlns:xm="http://schemas.microsoft.com/office/excel/2006/main">
          <x14:cfRule type="expression" priority="55" id="{5AE342F0-E9D7-4FCD-8485-CB5099E91132}">
            <xm:f>VLOOKUP(F5, Inventory!$A:$H, 8, 0)="Availble"</xm:f>
            <x14:dxf>
              <fill>
                <patternFill>
                  <bgColor rgb="FF00B050"/>
                </patternFill>
              </fill>
            </x14:dxf>
          </x14:cfRule>
          <x14:cfRule type="expression" priority="56" id="{2401779F-72D5-411D-8ADA-9AF712DC05EA}">
            <xm:f>VLOOKUP(F5, Inventory!$A:$H, 8, 0)="Sold"</xm:f>
            <x14:dxf>
              <fill>
                <patternFill>
                  <bgColor rgb="FFFF0000"/>
                </patternFill>
              </fill>
            </x14:dxf>
          </x14:cfRule>
          <xm:sqref>E9 G9</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Inventory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Raut</dc:creator>
  <cp:lastModifiedBy>Yash Raut</cp:lastModifiedBy>
  <dcterms:created xsi:type="dcterms:W3CDTF">2026-03-11T14:24:43Z</dcterms:created>
  <dcterms:modified xsi:type="dcterms:W3CDTF">2026-03-19T07:05:38Z</dcterms:modified>
</cp:coreProperties>
</file>